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20490" windowHeight="7455" activeTab="3"/>
  </bookViews>
  <sheets>
    <sheet name="Final Summary" sheetId="3" r:id="rId1"/>
    <sheet name="Summary" sheetId="6" state="hidden" r:id="rId2"/>
    <sheet name="Compiled" sheetId="1" r:id="rId3"/>
    <sheet name="Raw File" sheetId="4" r:id="rId4"/>
  </sheets>
  <definedNames>
    <definedName name="_xlnm._FilterDatabase" localSheetId="2" hidden="1">Compiled!$A$1:$E$70</definedName>
    <definedName name="_xlnm._FilterDatabase" localSheetId="0" hidden="1">'Final Summary'!$A$8:$J$14</definedName>
    <definedName name="_xlnm._FilterDatabase" localSheetId="3" hidden="1">'Raw File'!$A$1:$F$84</definedName>
  </definedNames>
  <calcPr calcId="125725"/>
</workbook>
</file>

<file path=xl/calcChain.xml><?xml version="1.0" encoding="utf-8"?>
<calcChain xmlns="http://schemas.openxmlformats.org/spreadsheetml/2006/main">
  <c r="B5" i="6"/>
  <c r="B4"/>
  <c r="H14" i="3" l="1"/>
  <c r="D5" i="6" s="1"/>
  <c r="D14" i="3"/>
  <c r="D4" i="6" s="1"/>
  <c r="D6" s="1"/>
  <c r="C4" i="3" l="1"/>
  <c r="B4"/>
  <c r="C4" i="6" l="1"/>
  <c r="E10" i="3"/>
  <c r="E13"/>
  <c r="E11"/>
  <c r="E12"/>
  <c r="C5" i="6"/>
  <c r="I10" i="3"/>
  <c r="I11"/>
  <c r="I12"/>
  <c r="I13"/>
  <c r="G14"/>
  <c r="C14"/>
  <c r="I14" l="1"/>
  <c r="E5" i="6" s="1"/>
  <c r="E14" i="3"/>
  <c r="E4" i="6" s="1"/>
  <c r="E6" l="1"/>
</calcChain>
</file>

<file path=xl/comments1.xml><?xml version="1.0" encoding="utf-8"?>
<comments xmlns="http://schemas.openxmlformats.org/spreadsheetml/2006/main">
  <authors>
    <author>Author</author>
  </authors>
  <commentList>
    <comment ref="B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Eligible in ERMS + (Not eligible in ERMS but has been recommended as eligible by RSM)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Eligible in ERMS + (Not eligible in ERMS but has been recommended as eligible by RSM)</t>
        </r>
      </text>
    </comment>
  </commentList>
</comments>
</file>

<file path=xl/sharedStrings.xml><?xml version="1.0" encoding="utf-8"?>
<sst xmlns="http://schemas.openxmlformats.org/spreadsheetml/2006/main" count="837" uniqueCount="107">
  <si>
    <t>EventTitle</t>
  </si>
  <si>
    <t>FromDate</t>
  </si>
  <si>
    <t>ClaimedRetailerID</t>
  </si>
  <si>
    <t>ClaimedRetailerName</t>
  </si>
  <si>
    <t>dealername</t>
  </si>
  <si>
    <t>ShortName</t>
  </si>
  <si>
    <t>Price adjustment of V48_SKD</t>
  </si>
  <si>
    <t>2/15/2019 12:00:00 AM</t>
  </si>
  <si>
    <t>V48_SKD</t>
  </si>
  <si>
    <t>Price adjustment of V92</t>
  </si>
  <si>
    <t>V92</t>
  </si>
  <si>
    <t>On Dealer</t>
  </si>
  <si>
    <t>RET-07868</t>
  </si>
  <si>
    <t>S.N Mobile Center</t>
  </si>
  <si>
    <t>M/S BTB Telecom</t>
  </si>
  <si>
    <t>RET-07918</t>
  </si>
  <si>
    <t>Dighi Telecom</t>
  </si>
  <si>
    <t>Rasel Telecom</t>
  </si>
  <si>
    <t>Modern Electronics</t>
  </si>
  <si>
    <t>Rahman Telecom</t>
  </si>
  <si>
    <t>RET-08805</t>
  </si>
  <si>
    <t>Rahman Telecom-2</t>
  </si>
  <si>
    <t>RET-08781</t>
  </si>
  <si>
    <t>RET-29197</t>
  </si>
  <si>
    <t>Brothers Shopping Center</t>
  </si>
  <si>
    <t>Easy Telecom</t>
  </si>
  <si>
    <t>Bondhu Telecom</t>
  </si>
  <si>
    <t>Swastidip Enterprise</t>
  </si>
  <si>
    <t>RET-11720</t>
  </si>
  <si>
    <t>Tanvir Telecom</t>
  </si>
  <si>
    <t>RET-07676</t>
  </si>
  <si>
    <t>Sonali Telecom</t>
  </si>
  <si>
    <t>Tulip Distribution</t>
  </si>
  <si>
    <t>RET-07845</t>
  </si>
  <si>
    <t>Mobile Park</t>
  </si>
  <si>
    <t>RET-07855</t>
  </si>
  <si>
    <t>Bina Mobile Center</t>
  </si>
  <si>
    <t>RET-07856</t>
  </si>
  <si>
    <t>Desh Telecom</t>
  </si>
  <si>
    <t>RET-07858</t>
  </si>
  <si>
    <t>Tuhin Mobile center</t>
  </si>
  <si>
    <t>RET-07877</t>
  </si>
  <si>
    <t>Mollah Mobile Center</t>
  </si>
  <si>
    <t>RET-07912</t>
  </si>
  <si>
    <t>Apurbo Electronics</t>
  </si>
  <si>
    <t>RET-07943</t>
  </si>
  <si>
    <t>Friends Mobile Collection</t>
  </si>
  <si>
    <t>RET-29330</t>
  </si>
  <si>
    <t>Natore Telecom</t>
  </si>
  <si>
    <t>Fahim Telecom</t>
  </si>
  <si>
    <t>RET-08788</t>
  </si>
  <si>
    <t>Khondokar Telecom</t>
  </si>
  <si>
    <t>RET-08794</t>
  </si>
  <si>
    <t>Jononi Telecom</t>
  </si>
  <si>
    <t>RET-08817</t>
  </si>
  <si>
    <t>Afzal Telecom</t>
  </si>
  <si>
    <t>RET-21143</t>
  </si>
  <si>
    <t>Sweet Telecom</t>
  </si>
  <si>
    <t>RET-21144</t>
  </si>
  <si>
    <t>RET-12866</t>
  </si>
  <si>
    <t>Sabbir Mobile Bazar</t>
  </si>
  <si>
    <t>RET-12935</t>
  </si>
  <si>
    <t>RET-12937</t>
  </si>
  <si>
    <t>Ray Electronics</t>
  </si>
  <si>
    <t>Islam Telecom</t>
  </si>
  <si>
    <t>RET-07767</t>
  </si>
  <si>
    <t>Raiyan Electronics</t>
  </si>
  <si>
    <t>RET-07775</t>
  </si>
  <si>
    <t>Sopon Elect.</t>
  </si>
  <si>
    <t>RET-07787</t>
  </si>
  <si>
    <t>Raj Telecom</t>
  </si>
  <si>
    <t>RET-07798</t>
  </si>
  <si>
    <t>Continental</t>
  </si>
  <si>
    <t>RET-07837</t>
  </si>
  <si>
    <t>Touch Electronics</t>
  </si>
  <si>
    <t>RET-11800</t>
  </si>
  <si>
    <t>RET-19045</t>
  </si>
  <si>
    <t>Aziz &amp; Sons</t>
  </si>
  <si>
    <t>RET-07758</t>
  </si>
  <si>
    <t>Phone Palace</t>
  </si>
  <si>
    <t>RET-07677</t>
  </si>
  <si>
    <t>RET-07678</t>
  </si>
  <si>
    <t>RET-07681</t>
  </si>
  <si>
    <t>Touch Galleary</t>
  </si>
  <si>
    <t>RET-07686</t>
  </si>
  <si>
    <t>Grameen Mobile Phone</t>
  </si>
  <si>
    <t>RET-07690</t>
  </si>
  <si>
    <t>RET-24107</t>
  </si>
  <si>
    <t>Mohona Telecom</t>
  </si>
  <si>
    <t>RET-24360</t>
  </si>
  <si>
    <t>Mashrafi Mobil House &amp; Electronics</t>
  </si>
  <si>
    <t>Grand Total</t>
  </si>
  <si>
    <t>Dealer Name</t>
  </si>
  <si>
    <t>Description/Handset Model</t>
  </si>
  <si>
    <t>Previous Price</t>
  </si>
  <si>
    <t>Current Price</t>
  </si>
  <si>
    <t>Total Adjustment @ Per Handset</t>
  </si>
  <si>
    <t>Adjustment Value</t>
  </si>
  <si>
    <t>BPA</t>
  </si>
  <si>
    <t>Commercial</t>
  </si>
  <si>
    <t>Qty.</t>
  </si>
  <si>
    <t>Model</t>
  </si>
  <si>
    <t>Adjustment/ Handset</t>
  </si>
  <si>
    <t>Adjusted Amount</t>
  </si>
  <si>
    <t>BDT</t>
  </si>
  <si>
    <t>Pcs.</t>
  </si>
  <si>
    <t>Total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</si>
</sst>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Font="1" applyBorder="1"/>
    <xf numFmtId="0" fontId="1" fillId="0" borderId="0" xfId="0" applyFont="1"/>
    <xf numFmtId="0" fontId="1" fillId="0" borderId="0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8" xfId="0" applyFont="1" applyBorder="1"/>
    <xf numFmtId="0" fontId="5" fillId="2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6" fillId="6" borderId="5" xfId="0" applyFont="1" applyFill="1" applyBorder="1"/>
    <xf numFmtId="0" fontId="6" fillId="6" borderId="6" xfId="0" applyFont="1" applyFill="1" applyBorder="1"/>
    <xf numFmtId="0" fontId="6" fillId="6" borderId="9" xfId="0" applyFont="1" applyFill="1" applyBorder="1"/>
    <xf numFmtId="164" fontId="6" fillId="2" borderId="1" xfId="1" applyNumberFormat="1" applyFont="1" applyFill="1" applyBorder="1"/>
    <xf numFmtId="164" fontId="6" fillId="5" borderId="1" xfId="1" applyNumberFormat="1" applyFont="1" applyFill="1" applyBorder="1"/>
    <xf numFmtId="164" fontId="5" fillId="2" borderId="1" xfId="1" applyNumberFormat="1" applyFont="1" applyFill="1" applyBorder="1"/>
    <xf numFmtId="164" fontId="5" fillId="6" borderId="1" xfId="1" applyNumberFormat="1" applyFont="1" applyFill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showGridLines="0" workbookViewId="0">
      <selection activeCell="B11" sqref="B11"/>
    </sheetView>
  </sheetViews>
  <sheetFormatPr defaultColWidth="9" defaultRowHeight="12.75"/>
  <cols>
    <col min="1" max="1" width="23.140625" style="8" bestFit="1" customWidth="1"/>
    <col min="2" max="2" width="8" style="8" bestFit="1" customWidth="1"/>
    <col min="3" max="3" width="14.28515625" style="8" bestFit="1" customWidth="1"/>
    <col min="4" max="4" width="4" style="8" bestFit="1" customWidth="1"/>
    <col min="5" max="5" width="14.28515625" style="8" bestFit="1" customWidth="1"/>
    <col min="6" max="6" width="6" style="8" bestFit="1" customWidth="1"/>
    <col min="7" max="7" width="14.28515625" style="8" bestFit="1" customWidth="1"/>
    <col min="8" max="8" width="4" style="8" bestFit="1" customWidth="1"/>
    <col min="9" max="9" width="14.28515625" style="8" bestFit="1" customWidth="1"/>
    <col min="10" max="10" width="7.85546875" style="8" bestFit="1" customWidth="1"/>
    <col min="11" max="16384" width="9" style="8"/>
  </cols>
  <sheetData>
    <row r="1" spans="1:9" ht="13.5" thickBot="1">
      <c r="A1" s="4" t="s">
        <v>93</v>
      </c>
      <c r="B1" s="5" t="s">
        <v>8</v>
      </c>
      <c r="C1" s="6" t="s">
        <v>10</v>
      </c>
      <c r="D1" s="7"/>
      <c r="E1" s="7"/>
    </row>
    <row r="2" spans="1:9">
      <c r="A2" s="9" t="s">
        <v>94</v>
      </c>
      <c r="B2" s="10">
        <v>3425</v>
      </c>
      <c r="C2" s="11">
        <v>4017</v>
      </c>
      <c r="D2" s="10"/>
      <c r="E2" s="10"/>
    </row>
    <row r="3" spans="1:9">
      <c r="A3" s="9" t="s">
        <v>95</v>
      </c>
      <c r="B3" s="10">
        <v>3249</v>
      </c>
      <c r="C3" s="11">
        <v>3774</v>
      </c>
      <c r="D3" s="10"/>
      <c r="E3" s="10"/>
    </row>
    <row r="4" spans="1:9" ht="13.5" thickBot="1">
      <c r="A4" s="16" t="s">
        <v>96</v>
      </c>
      <c r="B4" s="17">
        <f>B2-B3</f>
        <v>176</v>
      </c>
      <c r="C4" s="18">
        <f>C2-C3</f>
        <v>243</v>
      </c>
      <c r="D4" s="10"/>
      <c r="E4" s="10"/>
    </row>
    <row r="5" spans="1:9">
      <c r="A5" s="10"/>
      <c r="B5" s="10"/>
      <c r="C5" s="10"/>
      <c r="D5" s="10"/>
      <c r="E5" s="10"/>
    </row>
    <row r="7" spans="1:9">
      <c r="A7" s="32" t="s">
        <v>92</v>
      </c>
      <c r="B7" s="33" t="s">
        <v>8</v>
      </c>
      <c r="C7" s="33"/>
      <c r="D7" s="33"/>
      <c r="E7" s="33"/>
      <c r="F7" s="33" t="s">
        <v>10</v>
      </c>
      <c r="G7" s="33"/>
      <c r="H7" s="33"/>
      <c r="I7" s="33"/>
    </row>
    <row r="8" spans="1:9">
      <c r="A8" s="32"/>
      <c r="B8" s="34" t="s">
        <v>99</v>
      </c>
      <c r="C8" s="34"/>
      <c r="D8" s="31" t="s">
        <v>98</v>
      </c>
      <c r="E8" s="31"/>
      <c r="F8" s="34" t="s">
        <v>99</v>
      </c>
      <c r="G8" s="34"/>
      <c r="H8" s="31" t="s">
        <v>98</v>
      </c>
      <c r="I8" s="31"/>
    </row>
    <row r="9" spans="1:9">
      <c r="A9" s="32"/>
      <c r="B9" s="12" t="s">
        <v>100</v>
      </c>
      <c r="C9" s="12" t="s">
        <v>97</v>
      </c>
      <c r="D9" s="13" t="s">
        <v>100</v>
      </c>
      <c r="E9" s="13" t="s">
        <v>97</v>
      </c>
      <c r="F9" s="12" t="s">
        <v>100</v>
      </c>
      <c r="G9" s="12" t="s">
        <v>97</v>
      </c>
      <c r="H9" s="13" t="s">
        <v>100</v>
      </c>
      <c r="I9" s="13" t="s">
        <v>97</v>
      </c>
    </row>
    <row r="10" spans="1:9">
      <c r="A10" s="14" t="s">
        <v>14</v>
      </c>
      <c r="B10" s="19">
        <v>12</v>
      </c>
      <c r="C10" s="19">
        <v>2112</v>
      </c>
      <c r="D10" s="20">
        <v>12</v>
      </c>
      <c r="E10" s="20">
        <f t="shared" ref="E10" si="0">D10*$B$4</f>
        <v>2112</v>
      </c>
      <c r="F10" s="19">
        <v>2</v>
      </c>
      <c r="G10" s="19">
        <v>486</v>
      </c>
      <c r="H10" s="20">
        <v>2</v>
      </c>
      <c r="I10" s="20">
        <f t="shared" ref="I10" si="1">H10*$C$4</f>
        <v>486</v>
      </c>
    </row>
    <row r="11" spans="1:9">
      <c r="A11" s="14" t="s">
        <v>19</v>
      </c>
      <c r="B11" s="19">
        <v>8</v>
      </c>
      <c r="C11" s="19">
        <v>1408</v>
      </c>
      <c r="D11" s="20">
        <v>8</v>
      </c>
      <c r="E11" s="20">
        <f t="shared" ref="E11:E13" si="2">D11*$B$4</f>
        <v>1408</v>
      </c>
      <c r="F11" s="19">
        <v>9</v>
      </c>
      <c r="G11" s="19">
        <v>2187</v>
      </c>
      <c r="H11" s="20">
        <v>9</v>
      </c>
      <c r="I11" s="20">
        <f t="shared" ref="I11:I13" si="3">H11*$C$4</f>
        <v>2187</v>
      </c>
    </row>
    <row r="12" spans="1:9">
      <c r="A12" s="14" t="s">
        <v>27</v>
      </c>
      <c r="B12" s="19">
        <v>20</v>
      </c>
      <c r="C12" s="19">
        <v>3520</v>
      </c>
      <c r="D12" s="20">
        <v>20</v>
      </c>
      <c r="E12" s="20">
        <f t="shared" si="2"/>
        <v>3520</v>
      </c>
      <c r="F12" s="19">
        <v>4</v>
      </c>
      <c r="G12" s="19">
        <v>972</v>
      </c>
      <c r="H12" s="20">
        <v>4</v>
      </c>
      <c r="I12" s="20">
        <f t="shared" si="3"/>
        <v>972</v>
      </c>
    </row>
    <row r="13" spans="1:9">
      <c r="A13" s="14" t="s">
        <v>32</v>
      </c>
      <c r="B13" s="19">
        <v>19</v>
      </c>
      <c r="C13" s="19">
        <v>3344</v>
      </c>
      <c r="D13" s="20">
        <v>19</v>
      </c>
      <c r="E13" s="20">
        <f t="shared" si="2"/>
        <v>3344</v>
      </c>
      <c r="F13" s="19">
        <v>9</v>
      </c>
      <c r="G13" s="19">
        <v>2187</v>
      </c>
      <c r="H13" s="20">
        <v>9</v>
      </c>
      <c r="I13" s="20">
        <f t="shared" si="3"/>
        <v>2187</v>
      </c>
    </row>
    <row r="14" spans="1:9">
      <c r="A14" s="15" t="s">
        <v>91</v>
      </c>
      <c r="B14" s="21">
        <v>6733</v>
      </c>
      <c r="C14" s="21">
        <f>SUM(C10:C13)</f>
        <v>10384</v>
      </c>
      <c r="D14" s="22">
        <f>SUM(D10:D13)</f>
        <v>59</v>
      </c>
      <c r="E14" s="22">
        <f>SUM(E10:E13)</f>
        <v>10384</v>
      </c>
      <c r="F14" s="21">
        <v>3683</v>
      </c>
      <c r="G14" s="21">
        <f>SUM(G10:G13)</f>
        <v>5832</v>
      </c>
      <c r="H14" s="22">
        <f>SUM(H10:H13)</f>
        <v>24</v>
      </c>
      <c r="I14" s="22">
        <f>SUM(I10:I13)</f>
        <v>5832</v>
      </c>
    </row>
  </sheetData>
  <mergeCells count="7">
    <mergeCell ref="H8:I8"/>
    <mergeCell ref="A7:A9"/>
    <mergeCell ref="B7:E7"/>
    <mergeCell ref="F7:I7"/>
    <mergeCell ref="B8:C8"/>
    <mergeCell ref="F8:G8"/>
    <mergeCell ref="D8:E8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E6"/>
  <sheetViews>
    <sheetView showGridLines="0" workbookViewId="0">
      <selection activeCell="B2" sqref="B2:E6"/>
    </sheetView>
  </sheetViews>
  <sheetFormatPr defaultRowHeight="15"/>
  <sheetData>
    <row r="2" spans="2:5" ht="36">
      <c r="B2" s="35" t="s">
        <v>101</v>
      </c>
      <c r="C2" s="28" t="s">
        <v>102</v>
      </c>
      <c r="D2" s="28" t="s">
        <v>100</v>
      </c>
      <c r="E2" s="28" t="s">
        <v>103</v>
      </c>
    </row>
    <row r="3" spans="2:5">
      <c r="B3" s="35"/>
      <c r="C3" s="27" t="s">
        <v>104</v>
      </c>
      <c r="D3" s="27" t="s">
        <v>105</v>
      </c>
      <c r="E3" s="27" t="s">
        <v>104</v>
      </c>
    </row>
    <row r="4" spans="2:5">
      <c r="B4" s="23" t="str">
        <f>'Final Summary'!B1</f>
        <v>V48_SKD</v>
      </c>
      <c r="C4" s="24">
        <f>'Final Summary'!B4</f>
        <v>176</v>
      </c>
      <c r="D4" s="25">
        <f>'Final Summary'!D14</f>
        <v>59</v>
      </c>
      <c r="E4" s="25">
        <f>'Final Summary'!E14</f>
        <v>10384</v>
      </c>
    </row>
    <row r="5" spans="2:5">
      <c r="B5" s="23" t="str">
        <f>'Final Summary'!C1</f>
        <v>V92</v>
      </c>
      <c r="C5" s="24">
        <f>'Final Summary'!C4</f>
        <v>243</v>
      </c>
      <c r="D5" s="25">
        <f>'Final Summary'!H14</f>
        <v>24</v>
      </c>
      <c r="E5" s="25">
        <f>'Final Summary'!I14</f>
        <v>5832</v>
      </c>
    </row>
    <row r="6" spans="2:5">
      <c r="B6" s="30" t="s">
        <v>106</v>
      </c>
      <c r="C6" s="29"/>
      <c r="D6" s="26">
        <f t="shared" ref="D6:E6" si="0">SUM(D4:D5)</f>
        <v>83</v>
      </c>
      <c r="E6" s="26">
        <f t="shared" si="0"/>
        <v>16216</v>
      </c>
    </row>
  </sheetData>
  <mergeCells count="1">
    <mergeCell ref="B2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topLeftCell="K1" workbookViewId="0">
      <selection activeCell="AA6" sqref="AA6"/>
    </sheetView>
  </sheetViews>
  <sheetFormatPr defaultColWidth="9" defaultRowHeight="15"/>
  <cols>
    <col min="1" max="1" width="27" style="1" bestFit="1" customWidth="1"/>
    <col min="2" max="2" width="17.42578125" style="1" bestFit="1" customWidth="1"/>
    <col min="3" max="3" width="34.28515625" style="1" bestFit="1" customWidth="1"/>
    <col min="4" max="4" width="29.42578125" style="1" bestFit="1" customWidth="1"/>
    <col min="5" max="5" width="9.42578125" style="1" bestFit="1" customWidth="1"/>
    <col min="6" max="16384" width="9" style="1"/>
  </cols>
  <sheetData>
    <row r="1" spans="1: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1" t="s">
        <v>6</v>
      </c>
      <c r="B2" s="1" t="s">
        <v>11</v>
      </c>
      <c r="D2" s="1" t="s">
        <v>19</v>
      </c>
      <c r="E2" s="1" t="s">
        <v>8</v>
      </c>
    </row>
    <row r="3" spans="1:5">
      <c r="A3" t="s">
        <v>6</v>
      </c>
      <c r="B3" t="s">
        <v>22</v>
      </c>
      <c r="C3" t="s">
        <v>19</v>
      </c>
      <c r="D3" t="s">
        <v>19</v>
      </c>
      <c r="E3" t="s">
        <v>8</v>
      </c>
    </row>
    <row r="4" spans="1:5">
      <c r="A4" t="s">
        <v>6</v>
      </c>
      <c r="B4" t="s">
        <v>22</v>
      </c>
      <c r="C4" t="s">
        <v>19</v>
      </c>
      <c r="D4" t="s">
        <v>19</v>
      </c>
      <c r="E4" t="s">
        <v>8</v>
      </c>
    </row>
    <row r="5" spans="1:5">
      <c r="A5" t="s">
        <v>6</v>
      </c>
      <c r="B5" t="s">
        <v>20</v>
      </c>
      <c r="C5" t="s">
        <v>21</v>
      </c>
      <c r="D5" t="s">
        <v>19</v>
      </c>
      <c r="E5" t="s">
        <v>8</v>
      </c>
    </row>
    <row r="6" spans="1:5">
      <c r="A6" t="s">
        <v>6</v>
      </c>
      <c r="B6" t="s">
        <v>54</v>
      </c>
      <c r="C6" t="s">
        <v>55</v>
      </c>
      <c r="D6" t="s">
        <v>19</v>
      </c>
      <c r="E6" t="s">
        <v>8</v>
      </c>
    </row>
    <row r="7" spans="1:5">
      <c r="A7" t="s">
        <v>6</v>
      </c>
      <c r="B7" t="s">
        <v>56</v>
      </c>
      <c r="C7" t="s">
        <v>57</v>
      </c>
      <c r="D7" t="s">
        <v>19</v>
      </c>
      <c r="E7" t="s">
        <v>8</v>
      </c>
    </row>
    <row r="8" spans="1:5">
      <c r="A8" t="s">
        <v>6</v>
      </c>
      <c r="B8" t="s">
        <v>59</v>
      </c>
      <c r="C8" t="s">
        <v>60</v>
      </c>
      <c r="D8" t="s">
        <v>19</v>
      </c>
      <c r="E8" t="s">
        <v>8</v>
      </c>
    </row>
    <row r="9" spans="1:5">
      <c r="A9" t="s">
        <v>6</v>
      </c>
      <c r="B9" t="s">
        <v>61</v>
      </c>
      <c r="C9" t="s">
        <v>17</v>
      </c>
      <c r="D9" t="s">
        <v>19</v>
      </c>
      <c r="E9" t="s">
        <v>8</v>
      </c>
    </row>
    <row r="10" spans="1:5">
      <c r="A10" s="1" t="s">
        <v>9</v>
      </c>
      <c r="B10" s="1" t="s">
        <v>22</v>
      </c>
      <c r="C10" s="1" t="s">
        <v>19</v>
      </c>
      <c r="D10" s="1" t="s">
        <v>19</v>
      </c>
      <c r="E10" s="1" t="s">
        <v>10</v>
      </c>
    </row>
    <row r="11" spans="1:5">
      <c r="A11" s="1" t="s">
        <v>9</v>
      </c>
      <c r="B11" s="1" t="s">
        <v>23</v>
      </c>
      <c r="C11" s="1" t="s">
        <v>24</v>
      </c>
      <c r="D11" s="1" t="s">
        <v>19</v>
      </c>
      <c r="E11" s="1" t="s">
        <v>10</v>
      </c>
    </row>
    <row r="12" spans="1:5">
      <c r="A12" t="s">
        <v>9</v>
      </c>
      <c r="B12" t="s">
        <v>50</v>
      </c>
      <c r="C12" t="s">
        <v>51</v>
      </c>
      <c r="D12" t="s">
        <v>19</v>
      </c>
      <c r="E12" t="s">
        <v>10</v>
      </c>
    </row>
    <row r="13" spans="1:5">
      <c r="A13" t="s">
        <v>9</v>
      </c>
      <c r="B13" t="s">
        <v>52</v>
      </c>
      <c r="C13" t="s">
        <v>53</v>
      </c>
      <c r="D13" t="s">
        <v>19</v>
      </c>
      <c r="E13" t="s">
        <v>10</v>
      </c>
    </row>
    <row r="14" spans="1:5">
      <c r="A14" t="s">
        <v>9</v>
      </c>
      <c r="B14" t="s">
        <v>20</v>
      </c>
      <c r="C14" t="s">
        <v>21</v>
      </c>
      <c r="D14" t="s">
        <v>19</v>
      </c>
      <c r="E14" t="s">
        <v>10</v>
      </c>
    </row>
    <row r="15" spans="1:5" customFormat="1">
      <c r="A15" t="s">
        <v>9</v>
      </c>
      <c r="B15" t="s">
        <v>54</v>
      </c>
      <c r="C15" t="s">
        <v>55</v>
      </c>
      <c r="D15" t="s">
        <v>19</v>
      </c>
      <c r="E15" t="s">
        <v>10</v>
      </c>
    </row>
    <row r="16" spans="1:5" customFormat="1">
      <c r="A16" t="s">
        <v>9</v>
      </c>
      <c r="B16" t="s">
        <v>11</v>
      </c>
      <c r="D16" t="s">
        <v>19</v>
      </c>
      <c r="E16" t="s">
        <v>10</v>
      </c>
    </row>
    <row r="17" spans="1:5" customFormat="1">
      <c r="A17" t="s">
        <v>9</v>
      </c>
      <c r="B17" t="s">
        <v>58</v>
      </c>
      <c r="C17" t="s">
        <v>49</v>
      </c>
      <c r="D17" t="s">
        <v>19</v>
      </c>
      <c r="E17" t="s">
        <v>10</v>
      </c>
    </row>
    <row r="18" spans="1:5" customFormat="1">
      <c r="A18" t="s">
        <v>9</v>
      </c>
      <c r="B18" t="s">
        <v>62</v>
      </c>
      <c r="C18" t="s">
        <v>63</v>
      </c>
      <c r="D18" t="s">
        <v>19</v>
      </c>
      <c r="E18" t="s">
        <v>10</v>
      </c>
    </row>
    <row r="19" spans="1:5" customFormat="1">
      <c r="A19" s="1" t="s">
        <v>6</v>
      </c>
      <c r="B19" s="1" t="s">
        <v>11</v>
      </c>
      <c r="C19" s="1"/>
      <c r="D19" s="1" t="s">
        <v>27</v>
      </c>
      <c r="E19" s="1" t="s">
        <v>8</v>
      </c>
    </row>
    <row r="20" spans="1:5" customFormat="1">
      <c r="A20" s="1" t="s">
        <v>6</v>
      </c>
      <c r="B20" s="1" t="s">
        <v>11</v>
      </c>
      <c r="C20" s="1"/>
      <c r="D20" s="1" t="s">
        <v>27</v>
      </c>
      <c r="E20" s="1" t="s">
        <v>8</v>
      </c>
    </row>
    <row r="21" spans="1:5" customFormat="1">
      <c r="A21" s="1" t="s">
        <v>6</v>
      </c>
      <c r="B21" s="1" t="s">
        <v>11</v>
      </c>
      <c r="C21" s="1"/>
      <c r="D21" s="1" t="s">
        <v>27</v>
      </c>
      <c r="E21" s="1" t="s">
        <v>8</v>
      </c>
    </row>
    <row r="22" spans="1:5" customFormat="1">
      <c r="A22" s="1" t="s">
        <v>6</v>
      </c>
      <c r="B22" s="1" t="s">
        <v>11</v>
      </c>
      <c r="C22" s="1"/>
      <c r="D22" s="1" t="s">
        <v>27</v>
      </c>
      <c r="E22" s="1" t="s">
        <v>8</v>
      </c>
    </row>
    <row r="23" spans="1:5" customFormat="1">
      <c r="A23" t="s">
        <v>6</v>
      </c>
      <c r="B23" t="s">
        <v>11</v>
      </c>
      <c r="D23" t="s">
        <v>27</v>
      </c>
      <c r="E23" t="s">
        <v>8</v>
      </c>
    </row>
    <row r="24" spans="1:5" customFormat="1">
      <c r="A24" t="s">
        <v>6</v>
      </c>
      <c r="B24" t="s">
        <v>11</v>
      </c>
      <c r="D24" t="s">
        <v>27</v>
      </c>
      <c r="E24" t="s">
        <v>8</v>
      </c>
    </row>
    <row r="25" spans="1:5" customFormat="1">
      <c r="A25" t="s">
        <v>6</v>
      </c>
      <c r="B25" t="s">
        <v>11</v>
      </c>
      <c r="D25" t="s">
        <v>27</v>
      </c>
      <c r="E25" t="s">
        <v>8</v>
      </c>
    </row>
    <row r="26" spans="1:5" customFormat="1">
      <c r="A26" t="s">
        <v>6</v>
      </c>
      <c r="B26" t="s">
        <v>11</v>
      </c>
      <c r="D26" t="s">
        <v>27</v>
      </c>
      <c r="E26" t="s">
        <v>8</v>
      </c>
    </row>
    <row r="27" spans="1:5" customFormat="1">
      <c r="A27" t="s">
        <v>6</v>
      </c>
      <c r="B27" t="s">
        <v>11</v>
      </c>
      <c r="D27" t="s">
        <v>27</v>
      </c>
      <c r="E27" t="s">
        <v>8</v>
      </c>
    </row>
    <row r="28" spans="1:5" customFormat="1">
      <c r="A28" t="s">
        <v>6</v>
      </c>
      <c r="B28" t="s">
        <v>65</v>
      </c>
      <c r="C28" t="s">
        <v>66</v>
      </c>
      <c r="D28" t="s">
        <v>27</v>
      </c>
      <c r="E28" t="s">
        <v>8</v>
      </c>
    </row>
    <row r="29" spans="1:5" customFormat="1">
      <c r="A29" t="s">
        <v>6</v>
      </c>
      <c r="B29" t="s">
        <v>67</v>
      </c>
      <c r="C29" t="s">
        <v>68</v>
      </c>
      <c r="D29" t="s">
        <v>27</v>
      </c>
      <c r="E29" t="s">
        <v>8</v>
      </c>
    </row>
    <row r="30" spans="1:5" customFormat="1">
      <c r="A30" t="s">
        <v>6</v>
      </c>
      <c r="B30" t="s">
        <v>69</v>
      </c>
      <c r="C30" t="s">
        <v>70</v>
      </c>
      <c r="D30" t="s">
        <v>27</v>
      </c>
      <c r="E30" t="s">
        <v>8</v>
      </c>
    </row>
    <row r="31" spans="1:5" customFormat="1">
      <c r="A31" t="s">
        <v>6</v>
      </c>
      <c r="B31" t="s">
        <v>69</v>
      </c>
      <c r="C31" t="s">
        <v>70</v>
      </c>
      <c r="D31" t="s">
        <v>27</v>
      </c>
      <c r="E31" t="s">
        <v>8</v>
      </c>
    </row>
    <row r="32" spans="1:5" customFormat="1">
      <c r="A32" t="s">
        <v>6</v>
      </c>
      <c r="B32" t="s">
        <v>69</v>
      </c>
      <c r="C32" t="s">
        <v>70</v>
      </c>
      <c r="D32" t="s">
        <v>27</v>
      </c>
      <c r="E32" t="s">
        <v>8</v>
      </c>
    </row>
    <row r="33" spans="1:5" customFormat="1">
      <c r="A33" t="s">
        <v>6</v>
      </c>
      <c r="B33" t="s">
        <v>71</v>
      </c>
      <c r="C33" t="s">
        <v>72</v>
      </c>
      <c r="D33" t="s">
        <v>27</v>
      </c>
      <c r="E33" t="s">
        <v>8</v>
      </c>
    </row>
    <row r="34" spans="1:5" customFormat="1">
      <c r="A34" t="s">
        <v>6</v>
      </c>
      <c r="B34" t="s">
        <v>73</v>
      </c>
      <c r="C34" t="s">
        <v>74</v>
      </c>
      <c r="D34" t="s">
        <v>27</v>
      </c>
      <c r="E34" t="s">
        <v>8</v>
      </c>
    </row>
    <row r="35" spans="1:5" customFormat="1">
      <c r="A35" t="s">
        <v>6</v>
      </c>
      <c r="B35" t="s">
        <v>73</v>
      </c>
      <c r="C35" t="s">
        <v>74</v>
      </c>
      <c r="D35" t="s">
        <v>27</v>
      </c>
      <c r="E35" t="s">
        <v>8</v>
      </c>
    </row>
    <row r="36" spans="1:5" customFormat="1">
      <c r="A36" t="s">
        <v>6</v>
      </c>
      <c r="B36" t="s">
        <v>75</v>
      </c>
      <c r="C36" t="s">
        <v>26</v>
      </c>
      <c r="D36" t="s">
        <v>27</v>
      </c>
      <c r="E36" t="s">
        <v>8</v>
      </c>
    </row>
    <row r="37" spans="1:5" customFormat="1">
      <c r="A37" t="s">
        <v>6</v>
      </c>
      <c r="B37" t="s">
        <v>28</v>
      </c>
      <c r="C37" t="s">
        <v>29</v>
      </c>
      <c r="D37" t="s">
        <v>27</v>
      </c>
      <c r="E37" t="s">
        <v>8</v>
      </c>
    </row>
    <row r="38" spans="1:5" customFormat="1">
      <c r="A38" t="s">
        <v>6</v>
      </c>
      <c r="B38" t="s">
        <v>76</v>
      </c>
      <c r="C38" t="s">
        <v>77</v>
      </c>
      <c r="D38" t="s">
        <v>27</v>
      </c>
      <c r="E38" t="s">
        <v>8</v>
      </c>
    </row>
    <row r="39" spans="1:5" customFormat="1">
      <c r="A39" t="s">
        <v>9</v>
      </c>
      <c r="B39" t="s">
        <v>11</v>
      </c>
      <c r="D39" t="s">
        <v>27</v>
      </c>
      <c r="E39" t="s">
        <v>10</v>
      </c>
    </row>
    <row r="40" spans="1:5" customFormat="1">
      <c r="A40" t="s">
        <v>9</v>
      </c>
      <c r="B40" t="s">
        <v>65</v>
      </c>
      <c r="C40" t="s">
        <v>66</v>
      </c>
      <c r="D40" t="s">
        <v>27</v>
      </c>
      <c r="E40" t="s">
        <v>10</v>
      </c>
    </row>
    <row r="41" spans="1:5" customFormat="1">
      <c r="A41" t="s">
        <v>9</v>
      </c>
      <c r="B41" t="s">
        <v>73</v>
      </c>
      <c r="C41" t="s">
        <v>74</v>
      </c>
      <c r="D41" t="s">
        <v>27</v>
      </c>
      <c r="E41" t="s">
        <v>10</v>
      </c>
    </row>
    <row r="42" spans="1:5" customFormat="1">
      <c r="A42" t="s">
        <v>9</v>
      </c>
      <c r="B42" t="s">
        <v>76</v>
      </c>
      <c r="C42" t="s">
        <v>77</v>
      </c>
      <c r="D42" t="s">
        <v>27</v>
      </c>
      <c r="E42" t="s">
        <v>10</v>
      </c>
    </row>
    <row r="43" spans="1:5" customFormat="1">
      <c r="A43" s="1" t="s">
        <v>6</v>
      </c>
      <c r="B43" s="1" t="s">
        <v>11</v>
      </c>
      <c r="C43" s="1"/>
      <c r="D43" s="1" t="s">
        <v>32</v>
      </c>
      <c r="E43" s="1" t="s">
        <v>8</v>
      </c>
    </row>
    <row r="44" spans="1:5" customFormat="1">
      <c r="A44" s="1" t="s">
        <v>6</v>
      </c>
      <c r="B44" s="1" t="s">
        <v>11</v>
      </c>
      <c r="C44" s="1"/>
      <c r="D44" s="1" t="s">
        <v>32</v>
      </c>
      <c r="E44" s="1" t="s">
        <v>8</v>
      </c>
    </row>
    <row r="45" spans="1:5" customFormat="1">
      <c r="A45" s="1" t="s">
        <v>6</v>
      </c>
      <c r="B45" s="1" t="s">
        <v>11</v>
      </c>
      <c r="C45" s="1"/>
      <c r="D45" s="1" t="s">
        <v>32</v>
      </c>
      <c r="E45" s="1" t="s">
        <v>8</v>
      </c>
    </row>
    <row r="46" spans="1:5" customFormat="1">
      <c r="A46" s="1" t="s">
        <v>6</v>
      </c>
      <c r="B46" s="1" t="s">
        <v>11</v>
      </c>
      <c r="C46" s="1"/>
      <c r="D46" s="1" t="s">
        <v>32</v>
      </c>
      <c r="E46" s="1" t="s">
        <v>8</v>
      </c>
    </row>
    <row r="47" spans="1:5" customFormat="1">
      <c r="A47" s="1" t="s">
        <v>6</v>
      </c>
      <c r="B47" s="1" t="s">
        <v>11</v>
      </c>
      <c r="C47" s="1"/>
      <c r="D47" s="1" t="s">
        <v>32</v>
      </c>
      <c r="E47" s="1" t="s">
        <v>8</v>
      </c>
    </row>
    <row r="48" spans="1:5" customFormat="1">
      <c r="A48" s="1" t="s">
        <v>6</v>
      </c>
      <c r="B48" s="1" t="s">
        <v>11</v>
      </c>
      <c r="C48" s="1"/>
      <c r="D48" s="1" t="s">
        <v>32</v>
      </c>
      <c r="E48" s="1" t="s">
        <v>8</v>
      </c>
    </row>
    <row r="49" spans="1:5" customFormat="1">
      <c r="A49" t="s">
        <v>6</v>
      </c>
      <c r="B49" t="s">
        <v>78</v>
      </c>
      <c r="C49" t="s">
        <v>79</v>
      </c>
      <c r="D49" t="s">
        <v>32</v>
      </c>
      <c r="E49" t="s">
        <v>8</v>
      </c>
    </row>
    <row r="50" spans="1:5" customFormat="1">
      <c r="A50" t="s">
        <v>6</v>
      </c>
      <c r="B50" t="s">
        <v>80</v>
      </c>
      <c r="C50" t="s">
        <v>18</v>
      </c>
      <c r="D50" t="s">
        <v>32</v>
      </c>
      <c r="E50" t="s">
        <v>8</v>
      </c>
    </row>
    <row r="51" spans="1:5" customFormat="1">
      <c r="A51" t="s">
        <v>6</v>
      </c>
      <c r="B51" t="s">
        <v>81</v>
      </c>
      <c r="C51" t="s">
        <v>64</v>
      </c>
      <c r="D51" t="s">
        <v>32</v>
      </c>
      <c r="E51" t="s">
        <v>8</v>
      </c>
    </row>
    <row r="52" spans="1:5" customFormat="1">
      <c r="A52" t="s">
        <v>6</v>
      </c>
      <c r="B52" t="s">
        <v>81</v>
      </c>
      <c r="C52" t="s">
        <v>64</v>
      </c>
      <c r="D52" t="s">
        <v>32</v>
      </c>
      <c r="E52" t="s">
        <v>8</v>
      </c>
    </row>
    <row r="53" spans="1:5" customFormat="1">
      <c r="A53" t="s">
        <v>6</v>
      </c>
      <c r="B53" t="s">
        <v>81</v>
      </c>
      <c r="C53" t="s">
        <v>64</v>
      </c>
      <c r="D53" t="s">
        <v>32</v>
      </c>
      <c r="E53" t="s">
        <v>8</v>
      </c>
    </row>
    <row r="54" spans="1:5" customFormat="1">
      <c r="A54" t="s">
        <v>6</v>
      </c>
      <c r="B54" t="s">
        <v>82</v>
      </c>
      <c r="C54" t="s">
        <v>83</v>
      </c>
      <c r="D54" t="s">
        <v>32</v>
      </c>
      <c r="E54" t="s">
        <v>8</v>
      </c>
    </row>
    <row r="55" spans="1:5" customFormat="1">
      <c r="A55" t="s">
        <v>6</v>
      </c>
      <c r="B55" t="s">
        <v>84</v>
      </c>
      <c r="C55" t="s">
        <v>85</v>
      </c>
      <c r="D55" t="s">
        <v>32</v>
      </c>
      <c r="E55" t="s">
        <v>8</v>
      </c>
    </row>
    <row r="56" spans="1:5" customFormat="1">
      <c r="A56" t="s">
        <v>6</v>
      </c>
      <c r="B56" t="s">
        <v>84</v>
      </c>
      <c r="C56" t="s">
        <v>85</v>
      </c>
      <c r="D56" t="s">
        <v>32</v>
      </c>
      <c r="E56" t="s">
        <v>8</v>
      </c>
    </row>
    <row r="57" spans="1:5" customFormat="1">
      <c r="A57" t="s">
        <v>6</v>
      </c>
      <c r="B57" t="s">
        <v>86</v>
      </c>
      <c r="C57" t="s">
        <v>25</v>
      </c>
      <c r="D57" t="s">
        <v>32</v>
      </c>
      <c r="E57" t="s">
        <v>8</v>
      </c>
    </row>
    <row r="58" spans="1:5" customFormat="1">
      <c r="A58" t="s">
        <v>6</v>
      </c>
      <c r="B58" t="s">
        <v>86</v>
      </c>
      <c r="C58" t="s">
        <v>25</v>
      </c>
      <c r="D58" t="s">
        <v>32</v>
      </c>
      <c r="E58" t="s">
        <v>8</v>
      </c>
    </row>
    <row r="59" spans="1:5" customFormat="1">
      <c r="A59" t="s">
        <v>6</v>
      </c>
      <c r="B59" t="s">
        <v>11</v>
      </c>
      <c r="D59" t="s">
        <v>32</v>
      </c>
      <c r="E59" t="s">
        <v>8</v>
      </c>
    </row>
    <row r="60" spans="1:5" customFormat="1">
      <c r="A60" t="s">
        <v>6</v>
      </c>
      <c r="B60" t="s">
        <v>11</v>
      </c>
      <c r="D60" t="s">
        <v>32</v>
      </c>
      <c r="E60" t="s">
        <v>8</v>
      </c>
    </row>
    <row r="61" spans="1:5" customFormat="1">
      <c r="A61" t="s">
        <v>6</v>
      </c>
      <c r="B61" t="s">
        <v>87</v>
      </c>
      <c r="C61" t="s">
        <v>88</v>
      </c>
      <c r="D61" t="s">
        <v>32</v>
      </c>
      <c r="E61" t="s">
        <v>8</v>
      </c>
    </row>
    <row r="62" spans="1:5" customFormat="1">
      <c r="A62" t="s">
        <v>9</v>
      </c>
      <c r="B62" t="s">
        <v>30</v>
      </c>
      <c r="C62" t="s">
        <v>31</v>
      </c>
      <c r="D62" t="s">
        <v>32</v>
      </c>
      <c r="E62" t="s">
        <v>10</v>
      </c>
    </row>
    <row r="63" spans="1:5" customFormat="1">
      <c r="A63" t="s">
        <v>9</v>
      </c>
      <c r="B63" t="s">
        <v>30</v>
      </c>
      <c r="C63" t="s">
        <v>31</v>
      </c>
      <c r="D63" t="s">
        <v>32</v>
      </c>
      <c r="E63" t="s">
        <v>10</v>
      </c>
    </row>
    <row r="64" spans="1:5" customFormat="1">
      <c r="A64" t="s">
        <v>9</v>
      </c>
      <c r="B64" t="s">
        <v>80</v>
      </c>
      <c r="C64" t="s">
        <v>18</v>
      </c>
      <c r="D64" t="s">
        <v>32</v>
      </c>
      <c r="E64" t="s">
        <v>10</v>
      </c>
    </row>
    <row r="65" spans="1:5" customFormat="1">
      <c r="A65" t="s">
        <v>9</v>
      </c>
      <c r="B65" t="s">
        <v>11</v>
      </c>
      <c r="D65" t="s">
        <v>32</v>
      </c>
      <c r="E65" t="s">
        <v>10</v>
      </c>
    </row>
    <row r="66" spans="1:5" customFormat="1">
      <c r="A66" t="s">
        <v>9</v>
      </c>
      <c r="B66" t="s">
        <v>11</v>
      </c>
      <c r="D66" t="s">
        <v>32</v>
      </c>
      <c r="E66" t="s">
        <v>10</v>
      </c>
    </row>
    <row r="67" spans="1:5" customFormat="1">
      <c r="A67" t="s">
        <v>9</v>
      </c>
      <c r="B67" t="s">
        <v>11</v>
      </c>
      <c r="D67" t="s">
        <v>32</v>
      </c>
      <c r="E67" t="s">
        <v>10</v>
      </c>
    </row>
    <row r="68" spans="1:5" customFormat="1">
      <c r="A68" t="s">
        <v>9</v>
      </c>
      <c r="B68" t="s">
        <v>11</v>
      </c>
      <c r="D68" t="s">
        <v>32</v>
      </c>
      <c r="E68" t="s">
        <v>10</v>
      </c>
    </row>
    <row r="69" spans="1:5" customFormat="1">
      <c r="A69" t="s">
        <v>9</v>
      </c>
      <c r="B69" t="s">
        <v>11</v>
      </c>
      <c r="D69" t="s">
        <v>32</v>
      </c>
      <c r="E69" t="s">
        <v>10</v>
      </c>
    </row>
    <row r="70" spans="1:5" customFormat="1">
      <c r="A70" t="s">
        <v>9</v>
      </c>
      <c r="B70" t="s">
        <v>89</v>
      </c>
      <c r="C70" t="s">
        <v>90</v>
      </c>
      <c r="D70" t="s">
        <v>32</v>
      </c>
      <c r="E70" t="s">
        <v>10</v>
      </c>
    </row>
  </sheetData>
  <autoFilter ref="A1:E70"/>
  <sortState ref="A2:E10431">
    <sortCondition ref="D2:D10431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4"/>
  <sheetViews>
    <sheetView tabSelected="1" topLeftCell="A6" workbookViewId="0">
      <selection activeCell="H22" sqref="H22"/>
    </sheetView>
  </sheetViews>
  <sheetFormatPr defaultRowHeight="15"/>
  <cols>
    <col min="1" max="1" width="27" bestFit="1" customWidth="1"/>
    <col min="2" max="2" width="21" bestFit="1" customWidth="1"/>
    <col min="3" max="3" width="17.42578125" bestFit="1" customWidth="1"/>
    <col min="4" max="4" width="34.42578125" bestFit="1" customWidth="1"/>
    <col min="5" max="5" width="29.140625" bestFit="1" customWidth="1"/>
    <col min="6" max="6" width="11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33</v>
      </c>
      <c r="D2" t="s">
        <v>34</v>
      </c>
      <c r="E2" t="s">
        <v>14</v>
      </c>
      <c r="F2" t="s">
        <v>8</v>
      </c>
    </row>
    <row r="3" spans="1:6">
      <c r="A3" t="s">
        <v>6</v>
      </c>
      <c r="B3" t="s">
        <v>7</v>
      </c>
      <c r="C3" t="s">
        <v>35</v>
      </c>
      <c r="D3" t="s">
        <v>36</v>
      </c>
      <c r="E3" t="s">
        <v>14</v>
      </c>
      <c r="F3" t="s">
        <v>8</v>
      </c>
    </row>
    <row r="4" spans="1:6">
      <c r="A4" t="s">
        <v>6</v>
      </c>
      <c r="B4" t="s">
        <v>7</v>
      </c>
      <c r="C4" t="s">
        <v>37</v>
      </c>
      <c r="D4" t="s">
        <v>38</v>
      </c>
      <c r="E4" t="s">
        <v>14</v>
      </c>
      <c r="F4" t="s">
        <v>8</v>
      </c>
    </row>
    <row r="5" spans="1:6">
      <c r="A5" t="s">
        <v>6</v>
      </c>
      <c r="B5" t="s">
        <v>7</v>
      </c>
      <c r="C5" t="s">
        <v>39</v>
      </c>
      <c r="D5" t="s">
        <v>40</v>
      </c>
      <c r="E5" t="s">
        <v>14</v>
      </c>
      <c r="F5" t="s">
        <v>8</v>
      </c>
    </row>
    <row r="6" spans="1:6">
      <c r="A6" t="s">
        <v>6</v>
      </c>
      <c r="B6" t="s">
        <v>7</v>
      </c>
      <c r="C6" t="s">
        <v>12</v>
      </c>
      <c r="D6" t="s">
        <v>13</v>
      </c>
      <c r="E6" t="s">
        <v>14</v>
      </c>
      <c r="F6" t="s">
        <v>8</v>
      </c>
    </row>
    <row r="7" spans="1:6">
      <c r="A7" t="s">
        <v>6</v>
      </c>
      <c r="B7" t="s">
        <v>7</v>
      </c>
      <c r="C7" t="s">
        <v>11</v>
      </c>
      <c r="E7" t="s">
        <v>14</v>
      </c>
      <c r="F7" t="s">
        <v>8</v>
      </c>
    </row>
    <row r="8" spans="1:6">
      <c r="A8" t="s">
        <v>6</v>
      </c>
      <c r="B8" t="s">
        <v>7</v>
      </c>
      <c r="C8" t="s">
        <v>41</v>
      </c>
      <c r="D8" t="s">
        <v>42</v>
      </c>
      <c r="E8" t="s">
        <v>14</v>
      </c>
      <c r="F8" t="s">
        <v>8</v>
      </c>
    </row>
    <row r="9" spans="1:6">
      <c r="A9" t="s">
        <v>6</v>
      </c>
      <c r="B9" t="s">
        <v>7</v>
      </c>
      <c r="C9" t="s">
        <v>43</v>
      </c>
      <c r="D9" t="s">
        <v>44</v>
      </c>
      <c r="E9" t="s">
        <v>14</v>
      </c>
      <c r="F9" t="s">
        <v>8</v>
      </c>
    </row>
    <row r="10" spans="1:6">
      <c r="A10" t="s">
        <v>6</v>
      </c>
      <c r="B10" t="s">
        <v>7</v>
      </c>
      <c r="C10" t="s">
        <v>15</v>
      </c>
      <c r="D10" t="s">
        <v>16</v>
      </c>
      <c r="E10" t="s">
        <v>14</v>
      </c>
      <c r="F10" t="s">
        <v>8</v>
      </c>
    </row>
    <row r="11" spans="1:6">
      <c r="A11" t="s">
        <v>6</v>
      </c>
      <c r="B11" t="s">
        <v>7</v>
      </c>
      <c r="C11" t="s">
        <v>45</v>
      </c>
      <c r="D11" t="s">
        <v>46</v>
      </c>
      <c r="E11" t="s">
        <v>14</v>
      </c>
      <c r="F11" t="s">
        <v>8</v>
      </c>
    </row>
    <row r="12" spans="1:6">
      <c r="A12" t="s">
        <v>6</v>
      </c>
      <c r="B12" t="s">
        <v>7</v>
      </c>
      <c r="C12" t="s">
        <v>15</v>
      </c>
      <c r="D12" t="s">
        <v>16</v>
      </c>
      <c r="E12" t="s">
        <v>14</v>
      </c>
      <c r="F12" t="s">
        <v>8</v>
      </c>
    </row>
    <row r="13" spans="1:6">
      <c r="A13" t="s">
        <v>6</v>
      </c>
      <c r="B13" t="s">
        <v>7</v>
      </c>
      <c r="C13" t="s">
        <v>47</v>
      </c>
      <c r="D13" t="s">
        <v>48</v>
      </c>
      <c r="E13" t="s">
        <v>14</v>
      </c>
      <c r="F13" t="s">
        <v>8</v>
      </c>
    </row>
    <row r="14" spans="1:6">
      <c r="A14" t="s">
        <v>9</v>
      </c>
      <c r="B14" t="s">
        <v>7</v>
      </c>
      <c r="C14" t="s">
        <v>33</v>
      </c>
      <c r="D14" t="s">
        <v>34</v>
      </c>
      <c r="E14" t="s">
        <v>14</v>
      </c>
      <c r="F14" t="s">
        <v>10</v>
      </c>
    </row>
    <row r="15" spans="1:6">
      <c r="A15" t="s">
        <v>9</v>
      </c>
      <c r="B15" t="s">
        <v>7</v>
      </c>
      <c r="C15" t="s">
        <v>15</v>
      </c>
      <c r="D15" t="s">
        <v>16</v>
      </c>
      <c r="E15" t="s">
        <v>14</v>
      </c>
      <c r="F15" t="s">
        <v>10</v>
      </c>
    </row>
    <row r="16" spans="1:6">
      <c r="A16" t="s">
        <v>6</v>
      </c>
      <c r="B16" t="s">
        <v>7</v>
      </c>
      <c r="C16" t="s">
        <v>22</v>
      </c>
      <c r="D16" t="s">
        <v>19</v>
      </c>
      <c r="E16" t="s">
        <v>19</v>
      </c>
      <c r="F16" t="s">
        <v>8</v>
      </c>
    </row>
    <row r="17" spans="1:6">
      <c r="A17" t="s">
        <v>6</v>
      </c>
      <c r="B17" t="s">
        <v>7</v>
      </c>
      <c r="C17" t="s">
        <v>22</v>
      </c>
      <c r="D17" t="s">
        <v>19</v>
      </c>
      <c r="E17" t="s">
        <v>19</v>
      </c>
      <c r="F17" t="s">
        <v>8</v>
      </c>
    </row>
    <row r="18" spans="1:6">
      <c r="A18" t="s">
        <v>6</v>
      </c>
      <c r="B18" t="s">
        <v>7</v>
      </c>
      <c r="C18" t="s">
        <v>11</v>
      </c>
      <c r="E18" t="s">
        <v>19</v>
      </c>
      <c r="F18" t="s">
        <v>8</v>
      </c>
    </row>
    <row r="19" spans="1:6">
      <c r="A19" t="s">
        <v>6</v>
      </c>
      <c r="B19" t="s">
        <v>7</v>
      </c>
      <c r="C19" t="s">
        <v>20</v>
      </c>
      <c r="D19" t="s">
        <v>21</v>
      </c>
      <c r="E19" t="s">
        <v>19</v>
      </c>
      <c r="F19" t="s">
        <v>8</v>
      </c>
    </row>
    <row r="20" spans="1:6">
      <c r="A20" t="s">
        <v>6</v>
      </c>
      <c r="B20" t="s">
        <v>7</v>
      </c>
      <c r="C20" t="s">
        <v>54</v>
      </c>
      <c r="D20" t="s">
        <v>55</v>
      </c>
      <c r="E20" t="s">
        <v>19</v>
      </c>
      <c r="F20" t="s">
        <v>8</v>
      </c>
    </row>
    <row r="21" spans="1:6">
      <c r="A21" t="s">
        <v>6</v>
      </c>
      <c r="B21" t="s">
        <v>7</v>
      </c>
      <c r="C21" t="s">
        <v>56</v>
      </c>
      <c r="D21" t="s">
        <v>57</v>
      </c>
      <c r="E21" t="s">
        <v>19</v>
      </c>
      <c r="F21" t="s">
        <v>8</v>
      </c>
    </row>
    <row r="22" spans="1:6">
      <c r="A22" t="s">
        <v>6</v>
      </c>
      <c r="B22" t="s">
        <v>7</v>
      </c>
      <c r="C22" t="s">
        <v>59</v>
      </c>
      <c r="D22" t="s">
        <v>60</v>
      </c>
      <c r="E22" t="s">
        <v>19</v>
      </c>
      <c r="F22" t="s">
        <v>8</v>
      </c>
    </row>
    <row r="23" spans="1:6">
      <c r="A23" t="s">
        <v>6</v>
      </c>
      <c r="B23" t="s">
        <v>7</v>
      </c>
      <c r="C23" t="s">
        <v>61</v>
      </c>
      <c r="D23" t="s">
        <v>17</v>
      </c>
      <c r="E23" t="s">
        <v>19</v>
      </c>
      <c r="F23" t="s">
        <v>8</v>
      </c>
    </row>
    <row r="24" spans="1:6">
      <c r="A24" t="s">
        <v>9</v>
      </c>
      <c r="B24" t="s">
        <v>7</v>
      </c>
      <c r="C24" t="s">
        <v>50</v>
      </c>
      <c r="D24" t="s">
        <v>51</v>
      </c>
      <c r="E24" t="s">
        <v>19</v>
      </c>
      <c r="F24" t="s">
        <v>10</v>
      </c>
    </row>
    <row r="25" spans="1:6">
      <c r="A25" t="s">
        <v>9</v>
      </c>
      <c r="B25" t="s">
        <v>7</v>
      </c>
      <c r="C25" t="s">
        <v>52</v>
      </c>
      <c r="D25" t="s">
        <v>53</v>
      </c>
      <c r="E25" t="s">
        <v>19</v>
      </c>
      <c r="F25" t="s">
        <v>10</v>
      </c>
    </row>
    <row r="26" spans="1:6">
      <c r="A26" t="s">
        <v>9</v>
      </c>
      <c r="B26" t="s">
        <v>7</v>
      </c>
      <c r="C26" t="s">
        <v>20</v>
      </c>
      <c r="D26" t="s">
        <v>21</v>
      </c>
      <c r="E26" t="s">
        <v>19</v>
      </c>
      <c r="F26" t="s">
        <v>10</v>
      </c>
    </row>
    <row r="27" spans="1:6">
      <c r="A27" t="s">
        <v>9</v>
      </c>
      <c r="B27" t="s">
        <v>7</v>
      </c>
      <c r="C27" t="s">
        <v>22</v>
      </c>
      <c r="D27" t="s">
        <v>19</v>
      </c>
      <c r="E27" t="s">
        <v>19</v>
      </c>
      <c r="F27" t="s">
        <v>10</v>
      </c>
    </row>
    <row r="28" spans="1:6">
      <c r="A28" t="s">
        <v>9</v>
      </c>
      <c r="B28" t="s">
        <v>7</v>
      </c>
      <c r="C28" t="s">
        <v>54</v>
      </c>
      <c r="D28" t="s">
        <v>55</v>
      </c>
      <c r="E28" t="s">
        <v>19</v>
      </c>
      <c r="F28" t="s">
        <v>10</v>
      </c>
    </row>
    <row r="29" spans="1:6">
      <c r="A29" t="s">
        <v>9</v>
      </c>
      <c r="B29" t="s">
        <v>7</v>
      </c>
      <c r="C29" t="s">
        <v>11</v>
      </c>
      <c r="E29" t="s">
        <v>19</v>
      </c>
      <c r="F29" t="s">
        <v>10</v>
      </c>
    </row>
    <row r="30" spans="1:6">
      <c r="A30" t="s">
        <v>9</v>
      </c>
      <c r="B30" t="s">
        <v>7</v>
      </c>
      <c r="C30" t="s">
        <v>58</v>
      </c>
      <c r="D30" t="s">
        <v>49</v>
      </c>
      <c r="E30" t="s">
        <v>19</v>
      </c>
      <c r="F30" t="s">
        <v>10</v>
      </c>
    </row>
    <row r="31" spans="1:6">
      <c r="A31" t="s">
        <v>9</v>
      </c>
      <c r="B31" t="s">
        <v>7</v>
      </c>
      <c r="C31" t="s">
        <v>23</v>
      </c>
      <c r="D31" t="s">
        <v>24</v>
      </c>
      <c r="E31" t="s">
        <v>19</v>
      </c>
      <c r="F31" t="s">
        <v>10</v>
      </c>
    </row>
    <row r="32" spans="1:6">
      <c r="A32" t="s">
        <v>9</v>
      </c>
      <c r="B32" t="s">
        <v>7</v>
      </c>
      <c r="C32" t="s">
        <v>62</v>
      </c>
      <c r="D32" t="s">
        <v>63</v>
      </c>
      <c r="E32" t="s">
        <v>19</v>
      </c>
      <c r="F32" t="s">
        <v>10</v>
      </c>
    </row>
    <row r="33" spans="1:6">
      <c r="A33" t="s">
        <v>6</v>
      </c>
      <c r="B33" t="s">
        <v>7</v>
      </c>
      <c r="C33" t="s">
        <v>11</v>
      </c>
      <c r="E33" t="s">
        <v>27</v>
      </c>
      <c r="F33" t="s">
        <v>8</v>
      </c>
    </row>
    <row r="34" spans="1:6">
      <c r="A34" t="s">
        <v>6</v>
      </c>
      <c r="B34" t="s">
        <v>7</v>
      </c>
      <c r="C34" t="s">
        <v>11</v>
      </c>
      <c r="E34" t="s">
        <v>27</v>
      </c>
      <c r="F34" t="s">
        <v>8</v>
      </c>
    </row>
    <row r="35" spans="1:6">
      <c r="A35" t="s">
        <v>6</v>
      </c>
      <c r="B35" t="s">
        <v>7</v>
      </c>
      <c r="C35" t="s">
        <v>11</v>
      </c>
      <c r="E35" t="s">
        <v>27</v>
      </c>
      <c r="F35" t="s">
        <v>8</v>
      </c>
    </row>
    <row r="36" spans="1:6">
      <c r="A36" t="s">
        <v>6</v>
      </c>
      <c r="B36" t="s">
        <v>7</v>
      </c>
      <c r="C36" t="s">
        <v>11</v>
      </c>
      <c r="E36" t="s">
        <v>27</v>
      </c>
      <c r="F36" t="s">
        <v>8</v>
      </c>
    </row>
    <row r="37" spans="1:6">
      <c r="A37" t="s">
        <v>6</v>
      </c>
      <c r="B37" t="s">
        <v>7</v>
      </c>
      <c r="C37" t="s">
        <v>11</v>
      </c>
      <c r="E37" t="s">
        <v>27</v>
      </c>
      <c r="F37" t="s">
        <v>8</v>
      </c>
    </row>
    <row r="38" spans="1:6">
      <c r="A38" t="s">
        <v>6</v>
      </c>
      <c r="B38" t="s">
        <v>7</v>
      </c>
      <c r="C38" t="s">
        <v>65</v>
      </c>
      <c r="D38" t="s">
        <v>66</v>
      </c>
      <c r="E38" t="s">
        <v>27</v>
      </c>
      <c r="F38" t="s">
        <v>8</v>
      </c>
    </row>
    <row r="39" spans="1:6">
      <c r="A39" t="s">
        <v>6</v>
      </c>
      <c r="B39" t="s">
        <v>7</v>
      </c>
      <c r="C39" t="s">
        <v>67</v>
      </c>
      <c r="D39" t="s">
        <v>68</v>
      </c>
      <c r="E39" t="s">
        <v>27</v>
      </c>
      <c r="F39" t="s">
        <v>8</v>
      </c>
    </row>
    <row r="40" spans="1:6">
      <c r="A40" t="s">
        <v>6</v>
      </c>
      <c r="B40" t="s">
        <v>7</v>
      </c>
      <c r="C40" t="s">
        <v>11</v>
      </c>
      <c r="E40" t="s">
        <v>27</v>
      </c>
      <c r="F40" t="s">
        <v>8</v>
      </c>
    </row>
    <row r="41" spans="1:6">
      <c r="A41" t="s">
        <v>6</v>
      </c>
      <c r="B41" t="s">
        <v>7</v>
      </c>
      <c r="C41" t="s">
        <v>69</v>
      </c>
      <c r="D41" t="s">
        <v>70</v>
      </c>
      <c r="E41" t="s">
        <v>27</v>
      </c>
      <c r="F41" t="s">
        <v>8</v>
      </c>
    </row>
    <row r="42" spans="1:6">
      <c r="A42" t="s">
        <v>6</v>
      </c>
      <c r="B42" t="s">
        <v>7</v>
      </c>
      <c r="C42" t="s">
        <v>69</v>
      </c>
      <c r="D42" t="s">
        <v>70</v>
      </c>
      <c r="E42" t="s">
        <v>27</v>
      </c>
      <c r="F42" t="s">
        <v>8</v>
      </c>
    </row>
    <row r="43" spans="1:6">
      <c r="A43" t="s">
        <v>6</v>
      </c>
      <c r="B43" t="s">
        <v>7</v>
      </c>
      <c r="C43" t="s">
        <v>69</v>
      </c>
      <c r="D43" t="s">
        <v>70</v>
      </c>
      <c r="E43" t="s">
        <v>27</v>
      </c>
      <c r="F43" t="s">
        <v>8</v>
      </c>
    </row>
    <row r="44" spans="1:6">
      <c r="A44" t="s">
        <v>6</v>
      </c>
      <c r="B44" t="s">
        <v>7</v>
      </c>
      <c r="C44" t="s">
        <v>71</v>
      </c>
      <c r="D44" t="s">
        <v>72</v>
      </c>
      <c r="E44" t="s">
        <v>27</v>
      </c>
      <c r="F44" t="s">
        <v>8</v>
      </c>
    </row>
    <row r="45" spans="1:6">
      <c r="A45" t="s">
        <v>6</v>
      </c>
      <c r="B45" t="s">
        <v>7</v>
      </c>
      <c r="C45" t="s">
        <v>73</v>
      </c>
      <c r="D45" t="s">
        <v>74</v>
      </c>
      <c r="E45" t="s">
        <v>27</v>
      </c>
      <c r="F45" t="s">
        <v>8</v>
      </c>
    </row>
    <row r="46" spans="1:6">
      <c r="A46" t="s">
        <v>6</v>
      </c>
      <c r="B46" t="s">
        <v>7</v>
      </c>
      <c r="C46" t="s">
        <v>73</v>
      </c>
      <c r="D46" t="s">
        <v>74</v>
      </c>
      <c r="E46" t="s">
        <v>27</v>
      </c>
      <c r="F46" t="s">
        <v>8</v>
      </c>
    </row>
    <row r="47" spans="1:6">
      <c r="A47" t="s">
        <v>6</v>
      </c>
      <c r="B47" t="s">
        <v>7</v>
      </c>
      <c r="C47" t="s">
        <v>11</v>
      </c>
      <c r="E47" t="s">
        <v>27</v>
      </c>
      <c r="F47" t="s">
        <v>8</v>
      </c>
    </row>
    <row r="48" spans="1:6">
      <c r="A48" t="s">
        <v>6</v>
      </c>
      <c r="B48" t="s">
        <v>7</v>
      </c>
      <c r="C48" t="s">
        <v>75</v>
      </c>
      <c r="D48" t="s">
        <v>26</v>
      </c>
      <c r="E48" t="s">
        <v>27</v>
      </c>
      <c r="F48" t="s">
        <v>8</v>
      </c>
    </row>
    <row r="49" spans="1:6">
      <c r="A49" t="s">
        <v>6</v>
      </c>
      <c r="B49" t="s">
        <v>7</v>
      </c>
      <c r="C49" t="s">
        <v>11</v>
      </c>
      <c r="E49" t="s">
        <v>27</v>
      </c>
      <c r="F49" t="s">
        <v>8</v>
      </c>
    </row>
    <row r="50" spans="1:6">
      <c r="A50" t="s">
        <v>6</v>
      </c>
      <c r="B50" t="s">
        <v>7</v>
      </c>
      <c r="C50" t="s">
        <v>28</v>
      </c>
      <c r="D50" t="s">
        <v>29</v>
      </c>
      <c r="E50" t="s">
        <v>27</v>
      </c>
      <c r="F50" t="s">
        <v>8</v>
      </c>
    </row>
    <row r="51" spans="1:6">
      <c r="A51" t="s">
        <v>6</v>
      </c>
      <c r="B51" t="s">
        <v>7</v>
      </c>
      <c r="C51" t="s">
        <v>11</v>
      </c>
      <c r="E51" t="s">
        <v>27</v>
      </c>
      <c r="F51" t="s">
        <v>8</v>
      </c>
    </row>
    <row r="52" spans="1:6">
      <c r="A52" t="s">
        <v>6</v>
      </c>
      <c r="B52" t="s">
        <v>7</v>
      </c>
      <c r="C52" t="s">
        <v>76</v>
      </c>
      <c r="D52" t="s">
        <v>77</v>
      </c>
      <c r="E52" t="s">
        <v>27</v>
      </c>
      <c r="F52" t="s">
        <v>8</v>
      </c>
    </row>
    <row r="53" spans="1:6">
      <c r="A53" t="s">
        <v>9</v>
      </c>
      <c r="B53" t="s">
        <v>7</v>
      </c>
      <c r="C53" t="s">
        <v>11</v>
      </c>
      <c r="E53" t="s">
        <v>27</v>
      </c>
      <c r="F53" t="s">
        <v>10</v>
      </c>
    </row>
    <row r="54" spans="1:6">
      <c r="A54" t="s">
        <v>9</v>
      </c>
      <c r="B54" t="s">
        <v>7</v>
      </c>
      <c r="C54" t="s">
        <v>65</v>
      </c>
      <c r="D54" t="s">
        <v>66</v>
      </c>
      <c r="E54" t="s">
        <v>27</v>
      </c>
      <c r="F54" t="s">
        <v>10</v>
      </c>
    </row>
    <row r="55" spans="1:6">
      <c r="A55" t="s">
        <v>9</v>
      </c>
      <c r="B55" t="s">
        <v>7</v>
      </c>
      <c r="C55" t="s">
        <v>73</v>
      </c>
      <c r="D55" t="s">
        <v>74</v>
      </c>
      <c r="E55" t="s">
        <v>27</v>
      </c>
      <c r="F55" t="s">
        <v>10</v>
      </c>
    </row>
    <row r="56" spans="1:6">
      <c r="A56" t="s">
        <v>9</v>
      </c>
      <c r="B56" t="s">
        <v>7</v>
      </c>
      <c r="C56" t="s">
        <v>76</v>
      </c>
      <c r="D56" t="s">
        <v>77</v>
      </c>
      <c r="E56" t="s">
        <v>27</v>
      </c>
      <c r="F56" t="s">
        <v>10</v>
      </c>
    </row>
    <row r="57" spans="1:6">
      <c r="A57" t="s">
        <v>6</v>
      </c>
      <c r="B57" t="s">
        <v>7</v>
      </c>
      <c r="C57" t="s">
        <v>78</v>
      </c>
      <c r="D57" t="s">
        <v>79</v>
      </c>
      <c r="E57" t="s">
        <v>32</v>
      </c>
      <c r="F57" t="s">
        <v>8</v>
      </c>
    </row>
    <row r="58" spans="1:6">
      <c r="A58" t="s">
        <v>6</v>
      </c>
      <c r="B58" t="s">
        <v>7</v>
      </c>
      <c r="C58" t="s">
        <v>11</v>
      </c>
      <c r="E58" t="s">
        <v>32</v>
      </c>
      <c r="F58" t="s">
        <v>8</v>
      </c>
    </row>
    <row r="59" spans="1:6">
      <c r="A59" t="s">
        <v>6</v>
      </c>
      <c r="B59" t="s">
        <v>7</v>
      </c>
      <c r="C59" t="s">
        <v>11</v>
      </c>
      <c r="E59" t="s">
        <v>32</v>
      </c>
      <c r="F59" t="s">
        <v>8</v>
      </c>
    </row>
    <row r="60" spans="1:6">
      <c r="A60" t="s">
        <v>6</v>
      </c>
      <c r="B60" t="s">
        <v>7</v>
      </c>
      <c r="C60" t="s">
        <v>80</v>
      </c>
      <c r="D60" t="s">
        <v>18</v>
      </c>
      <c r="E60" t="s">
        <v>32</v>
      </c>
      <c r="F60" t="s">
        <v>8</v>
      </c>
    </row>
    <row r="61" spans="1:6">
      <c r="A61" t="s">
        <v>6</v>
      </c>
      <c r="B61" t="s">
        <v>7</v>
      </c>
      <c r="C61" t="s">
        <v>81</v>
      </c>
      <c r="D61" t="s">
        <v>64</v>
      </c>
      <c r="E61" t="s">
        <v>32</v>
      </c>
      <c r="F61" t="s">
        <v>8</v>
      </c>
    </row>
    <row r="62" spans="1:6">
      <c r="A62" t="s">
        <v>6</v>
      </c>
      <c r="B62" t="s">
        <v>7</v>
      </c>
      <c r="C62" t="s">
        <v>81</v>
      </c>
      <c r="D62" t="s">
        <v>64</v>
      </c>
      <c r="E62" t="s">
        <v>32</v>
      </c>
      <c r="F62" t="s">
        <v>8</v>
      </c>
    </row>
    <row r="63" spans="1:6">
      <c r="A63" t="s">
        <v>6</v>
      </c>
      <c r="B63" t="s">
        <v>7</v>
      </c>
      <c r="C63" t="s">
        <v>81</v>
      </c>
      <c r="D63" t="s">
        <v>64</v>
      </c>
      <c r="E63" t="s">
        <v>32</v>
      </c>
      <c r="F63" t="s">
        <v>8</v>
      </c>
    </row>
    <row r="64" spans="1:6">
      <c r="A64" t="s">
        <v>6</v>
      </c>
      <c r="B64" t="s">
        <v>7</v>
      </c>
      <c r="C64" t="s">
        <v>82</v>
      </c>
      <c r="D64" t="s">
        <v>83</v>
      </c>
      <c r="E64" t="s">
        <v>32</v>
      </c>
      <c r="F64" t="s">
        <v>8</v>
      </c>
    </row>
    <row r="65" spans="1:6">
      <c r="A65" t="s">
        <v>6</v>
      </c>
      <c r="B65" t="s">
        <v>7</v>
      </c>
      <c r="C65" t="s">
        <v>84</v>
      </c>
      <c r="D65" t="s">
        <v>85</v>
      </c>
      <c r="E65" t="s">
        <v>32</v>
      </c>
      <c r="F65" t="s">
        <v>8</v>
      </c>
    </row>
    <row r="66" spans="1:6">
      <c r="A66" t="s">
        <v>6</v>
      </c>
      <c r="B66" t="s">
        <v>7</v>
      </c>
      <c r="C66" t="s">
        <v>84</v>
      </c>
      <c r="D66" t="s">
        <v>85</v>
      </c>
      <c r="E66" t="s">
        <v>32</v>
      </c>
      <c r="F66" t="s">
        <v>8</v>
      </c>
    </row>
    <row r="67" spans="1:6">
      <c r="A67" t="s">
        <v>6</v>
      </c>
      <c r="B67" t="s">
        <v>7</v>
      </c>
      <c r="C67" t="s">
        <v>86</v>
      </c>
      <c r="D67" t="s">
        <v>25</v>
      </c>
      <c r="E67" t="s">
        <v>32</v>
      </c>
      <c r="F67" t="s">
        <v>8</v>
      </c>
    </row>
    <row r="68" spans="1:6">
      <c r="A68" t="s">
        <v>6</v>
      </c>
      <c r="B68" t="s">
        <v>7</v>
      </c>
      <c r="C68" t="s">
        <v>86</v>
      </c>
      <c r="D68" t="s">
        <v>25</v>
      </c>
      <c r="E68" t="s">
        <v>32</v>
      </c>
      <c r="F68" t="s">
        <v>8</v>
      </c>
    </row>
    <row r="69" spans="1:6">
      <c r="A69" t="s">
        <v>6</v>
      </c>
      <c r="B69" t="s">
        <v>7</v>
      </c>
      <c r="C69" t="s">
        <v>11</v>
      </c>
      <c r="E69" t="s">
        <v>32</v>
      </c>
      <c r="F69" t="s">
        <v>8</v>
      </c>
    </row>
    <row r="70" spans="1:6">
      <c r="A70" t="s">
        <v>6</v>
      </c>
      <c r="B70" t="s">
        <v>7</v>
      </c>
      <c r="C70" t="s">
        <v>11</v>
      </c>
      <c r="E70" t="s">
        <v>32</v>
      </c>
      <c r="F70" t="s">
        <v>8</v>
      </c>
    </row>
    <row r="71" spans="1:6">
      <c r="A71" t="s">
        <v>6</v>
      </c>
      <c r="B71" t="s">
        <v>7</v>
      </c>
      <c r="C71" t="s">
        <v>87</v>
      </c>
      <c r="D71" t="s">
        <v>88</v>
      </c>
      <c r="E71" t="s">
        <v>32</v>
      </c>
      <c r="F71" t="s">
        <v>8</v>
      </c>
    </row>
    <row r="72" spans="1:6">
      <c r="A72" t="s">
        <v>6</v>
      </c>
      <c r="B72" t="s">
        <v>7</v>
      </c>
      <c r="C72" t="s">
        <v>11</v>
      </c>
      <c r="E72" t="s">
        <v>32</v>
      </c>
      <c r="F72" t="s">
        <v>8</v>
      </c>
    </row>
    <row r="73" spans="1:6">
      <c r="A73" t="s">
        <v>6</v>
      </c>
      <c r="B73" t="s">
        <v>7</v>
      </c>
      <c r="C73" t="s">
        <v>11</v>
      </c>
      <c r="E73" t="s">
        <v>32</v>
      </c>
      <c r="F73" t="s">
        <v>8</v>
      </c>
    </row>
    <row r="74" spans="1:6">
      <c r="A74" t="s">
        <v>6</v>
      </c>
      <c r="B74" t="s">
        <v>7</v>
      </c>
      <c r="C74" t="s">
        <v>11</v>
      </c>
      <c r="E74" t="s">
        <v>32</v>
      </c>
      <c r="F74" t="s">
        <v>8</v>
      </c>
    </row>
    <row r="75" spans="1:6">
      <c r="A75" t="s">
        <v>6</v>
      </c>
      <c r="B75" t="s">
        <v>7</v>
      </c>
      <c r="C75" t="s">
        <v>11</v>
      </c>
      <c r="E75" t="s">
        <v>32</v>
      </c>
      <c r="F75" t="s">
        <v>8</v>
      </c>
    </row>
    <row r="76" spans="1:6">
      <c r="A76" t="s">
        <v>9</v>
      </c>
      <c r="B76" t="s">
        <v>7</v>
      </c>
      <c r="C76" t="s">
        <v>30</v>
      </c>
      <c r="D76" t="s">
        <v>31</v>
      </c>
      <c r="E76" t="s">
        <v>32</v>
      </c>
      <c r="F76" t="s">
        <v>10</v>
      </c>
    </row>
    <row r="77" spans="1:6">
      <c r="A77" t="s">
        <v>9</v>
      </c>
      <c r="B77" t="s">
        <v>7</v>
      </c>
      <c r="C77" t="s">
        <v>30</v>
      </c>
      <c r="D77" t="s">
        <v>31</v>
      </c>
      <c r="E77" t="s">
        <v>32</v>
      </c>
      <c r="F77" t="s">
        <v>10</v>
      </c>
    </row>
    <row r="78" spans="1:6">
      <c r="A78" t="s">
        <v>9</v>
      </c>
      <c r="B78" t="s">
        <v>7</v>
      </c>
      <c r="C78" t="s">
        <v>80</v>
      </c>
      <c r="D78" t="s">
        <v>18</v>
      </c>
      <c r="E78" t="s">
        <v>32</v>
      </c>
      <c r="F78" t="s">
        <v>10</v>
      </c>
    </row>
    <row r="79" spans="1:6">
      <c r="A79" t="s">
        <v>9</v>
      </c>
      <c r="B79" t="s">
        <v>7</v>
      </c>
      <c r="C79" t="s">
        <v>11</v>
      </c>
      <c r="E79" t="s">
        <v>32</v>
      </c>
      <c r="F79" t="s">
        <v>10</v>
      </c>
    </row>
    <row r="80" spans="1:6">
      <c r="A80" t="s">
        <v>9</v>
      </c>
      <c r="B80" t="s">
        <v>7</v>
      </c>
      <c r="C80" t="s">
        <v>11</v>
      </c>
      <c r="E80" t="s">
        <v>32</v>
      </c>
      <c r="F80" t="s">
        <v>10</v>
      </c>
    </row>
    <row r="81" spans="1:6">
      <c r="A81" t="s">
        <v>9</v>
      </c>
      <c r="B81" t="s">
        <v>7</v>
      </c>
      <c r="C81" t="s">
        <v>11</v>
      </c>
      <c r="E81" t="s">
        <v>32</v>
      </c>
      <c r="F81" t="s">
        <v>10</v>
      </c>
    </row>
    <row r="82" spans="1:6">
      <c r="A82" t="s">
        <v>9</v>
      </c>
      <c r="B82" t="s">
        <v>7</v>
      </c>
      <c r="C82" t="s">
        <v>11</v>
      </c>
      <c r="E82" t="s">
        <v>32</v>
      </c>
      <c r="F82" t="s">
        <v>10</v>
      </c>
    </row>
    <row r="83" spans="1:6">
      <c r="A83" t="s">
        <v>9</v>
      </c>
      <c r="B83" t="s">
        <v>7</v>
      </c>
      <c r="C83" t="s">
        <v>11</v>
      </c>
      <c r="E83" t="s">
        <v>32</v>
      </c>
      <c r="F83" t="s">
        <v>10</v>
      </c>
    </row>
    <row r="84" spans="1:6">
      <c r="A84" t="s">
        <v>9</v>
      </c>
      <c r="B84" t="s">
        <v>7</v>
      </c>
      <c r="C84" t="s">
        <v>89</v>
      </c>
      <c r="D84" t="s">
        <v>90</v>
      </c>
      <c r="E84" t="s">
        <v>32</v>
      </c>
      <c r="F84" t="s">
        <v>10</v>
      </c>
    </row>
  </sheetData>
  <autoFilter ref="A1:F84"/>
  <sortState ref="A2:F84">
    <sortCondition ref="E2:E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Summary</vt:lpstr>
      <vt:lpstr>Summary</vt:lpstr>
      <vt:lpstr>Compiled</vt:lpstr>
      <vt:lpstr>Raw 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2019-05-13T10:21:15Z</dcterms:modified>
</cp:coreProperties>
</file>